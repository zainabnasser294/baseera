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era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 &quot;OMR&quot;"/>
    <numFmt numFmtId="165" formatCode="0.0%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E2E8F0"/>
      <sz val="10"/>
    </font>
    <font>
      <name val="Segoe UI"/>
      <b val="1"/>
      <color rgb="00475569"/>
      <sz val="9"/>
    </font>
    <font>
      <name val="Segoe UI"/>
      <b val="1"/>
      <color rgb="000F172A"/>
      <sz val="14"/>
    </font>
    <font>
      <name val="Segoe UI"/>
      <b val="1"/>
      <color rgb="00047857"/>
      <sz val="14"/>
    </font>
    <font>
      <name val="Segoe UI"/>
      <b val="1"/>
      <color rgb="00FFFFFF"/>
      <sz val="10"/>
    </font>
    <font>
      <name val="Segoe UI"/>
      <color rgb="001E293B"/>
      <sz val="10"/>
    </font>
    <font>
      <name val="Segoe UI"/>
      <b val="1"/>
      <color rgb="000F172A"/>
      <sz val="10"/>
    </font>
    <font>
      <name val="Segoe UI"/>
      <b val="1"/>
      <color rgb="000F172A"/>
      <sz val="11"/>
    </font>
    <font>
      <name val="Segoe UI"/>
      <b val="1"/>
      <color rgb="001E3A8A"/>
      <sz val="9.5"/>
    </font>
  </fonts>
  <fills count="9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ECFDF5"/>
        <bgColor rgb="00ECFDF5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E0E7FF"/>
        <bgColor rgb="00E0E7FF"/>
      </patternFill>
    </fill>
    <fill>
      <patternFill patternType="solid">
        <fgColor rgb="00EEF2FF"/>
        <bgColor rgb="00EEF2FF"/>
      </patternFill>
    </fill>
  </fills>
  <borders count="5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CBD5E1"/>
      </left>
      <right style="thin">
        <color rgb="00CBD5E1"/>
      </right>
      <top style="medium">
        <color rgb="001E3A8A"/>
      </top>
      <bottom style="double">
        <color rgb="001E3A8A"/>
      </bottom>
    </border>
    <border>
      <top style="thin">
        <color rgb="00C7D2FE"/>
      </top>
      <bottom style="thin">
        <color rgb="00C7D2FE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164" fontId="4" fillId="3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center"/>
    </xf>
    <xf numFmtId="3" fontId="7" fillId="0" borderId="2" pivotButton="0" quotePrefix="0" xfId="0"/>
    <xf numFmtId="164" fontId="7" fillId="0" borderId="2" pivotButton="0" quotePrefix="0" xfId="0"/>
    <xf numFmtId="0" fontId="7" fillId="6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left" vertical="center"/>
    </xf>
    <xf numFmtId="3" fontId="7" fillId="6" borderId="2" pivotButton="0" quotePrefix="0" xfId="0"/>
    <xf numFmtId="164" fontId="7" fillId="6" borderId="2" pivotButton="0" quotePrefix="0" xfId="0"/>
    <xf numFmtId="0" fontId="8" fillId="7" borderId="3" applyAlignment="1" pivotButton="0" quotePrefix="0" xfId="0">
      <alignment horizontal="center" vertical="center" wrapText="1"/>
    </xf>
    <xf numFmtId="0" fontId="8" fillId="7" borderId="3" pivotButton="0" quotePrefix="0" xfId="0"/>
    <xf numFmtId="3" fontId="8" fillId="7" borderId="3" pivotButton="0" quotePrefix="0" xfId="0"/>
    <xf numFmtId="164" fontId="8" fillId="7" borderId="3" pivotButton="0" quotePrefix="0" xfId="0"/>
    <xf numFmtId="0" fontId="9" fillId="0" borderId="0" applyAlignment="1" pivotButton="0" quotePrefix="0" xfId="0">
      <alignment horizontal="left" vertical="center"/>
    </xf>
    <xf numFmtId="0" fontId="0" fillId="0" borderId="2" pivotButton="0" quotePrefix="0" xfId="0"/>
    <xf numFmtId="0" fontId="7" fillId="0" borderId="2" pivotButton="0" quotePrefix="0" xfId="0"/>
    <xf numFmtId="164" fontId="7" fillId="0" borderId="2" applyAlignment="1" pivotButton="0" quotePrefix="0" xfId="0">
      <alignment horizontal="center" vertical="center" wrapText="1"/>
    </xf>
    <xf numFmtId="165" fontId="7" fillId="0" borderId="2" applyAlignment="1" pivotButton="0" quotePrefix="0" xfId="0">
      <alignment horizontal="center" vertical="center" wrapText="1"/>
    </xf>
    <xf numFmtId="0" fontId="7" fillId="6" borderId="2" pivotButton="0" quotePrefix="0" xfId="0"/>
    <xf numFmtId="164" fontId="7" fillId="6" borderId="2" applyAlignment="1" pivotButton="0" quotePrefix="0" xfId="0">
      <alignment horizontal="center" vertical="center" wrapText="1"/>
    </xf>
    <xf numFmtId="165" fontId="7" fillId="6" borderId="2" applyAlignment="1" pivotButton="0" quotePrefix="0" xfId="0">
      <alignment horizontal="center" vertical="center" wrapText="1"/>
    </xf>
    <xf numFmtId="0" fontId="10" fillId="8" borderId="4" applyAlignment="1" pivotButton="0" quotePrefix="0" xfId="0">
      <alignment horizontal="center" vertical="center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29"/>
  <sheetViews>
    <sheetView showGridLines="1" rightToLeft="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12" customWidth="1" min="4" max="4"/>
    <col width="16" customWidth="1" min="5" max="5"/>
    <col width="18" customWidth="1" min="6" max="6"/>
    <col width="18" customWidth="1" min="7" max="7"/>
    <col width="16" customWidth="1" min="8" max="8"/>
    <col width="18" customWidth="1" min="9" max="9"/>
  </cols>
  <sheetData>
    <row r="2" ht="28" customHeight="1">
      <c r="A2" s="1" t="inlineStr">
        <is>
          <t>Baseera Report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18" customHeight="1">
      <c r="A3" s="3" t="inlineStr">
        <is>
          <t>Financial, Sales &amp; Profitability Analysis - المؤسسة / الشركة | 2026-07-30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5" ht="18" customHeight="1">
      <c r="A5" s="4" t="inlineStr">
        <is>
          <t>Total Revenue</t>
        </is>
      </c>
      <c r="B5" s="5" t="n"/>
      <c r="C5" s="4" t="inlineStr">
        <is>
          <t>Total Cost</t>
        </is>
      </c>
      <c r="D5" s="5" t="n"/>
      <c r="E5" s="4" t="inlineStr">
        <is>
          <t>Total Waste</t>
        </is>
      </c>
      <c r="F5" s="5" t="n"/>
      <c r="G5" s="6" t="inlineStr">
        <is>
          <t>Net Profit</t>
        </is>
      </c>
      <c r="H5" s="7" t="n"/>
      <c r="I5" s="7" t="n"/>
    </row>
    <row r="6" ht="24" customHeight="1">
      <c r="A6" s="8">
        <f>F17</f>
        <v/>
      </c>
      <c r="B6" s="5" t="n"/>
      <c r="C6" s="8">
        <f>G17</f>
        <v/>
      </c>
      <c r="D6" s="5" t="n"/>
      <c r="E6" s="8">
        <f>H17</f>
        <v/>
      </c>
      <c r="F6" s="5" t="n"/>
      <c r="G6" s="9">
        <f>I17</f>
        <v/>
      </c>
      <c r="H6" s="7" t="n"/>
      <c r="I6" s="7" t="n"/>
    </row>
    <row r="8" ht="24" customHeight="1">
      <c r="A8" s="10" t="inlineStr">
        <is>
          <t>SKU / Code</t>
        </is>
      </c>
      <c r="B8" s="10" t="inlineStr">
        <is>
          <t>Product Name</t>
        </is>
      </c>
      <c r="C8" s="10" t="inlineStr">
        <is>
          <t>Category</t>
        </is>
      </c>
      <c r="D8" s="10" t="inlineStr">
        <is>
          <t>Qty Sold</t>
        </is>
      </c>
      <c r="E8" s="10" t="inlineStr">
        <is>
          <t>Unit Price</t>
        </is>
      </c>
      <c r="F8" s="10" t="inlineStr">
        <is>
          <t>Total Sales</t>
        </is>
      </c>
      <c r="G8" s="10" t="inlineStr">
        <is>
          <t>Total Cost</t>
        </is>
      </c>
      <c r="H8" s="10" t="inlineStr">
        <is>
          <t>Waste Loss</t>
        </is>
      </c>
      <c r="I8" s="10" t="inlineStr">
        <is>
          <t>Net Profit</t>
        </is>
      </c>
    </row>
    <row r="9" ht="20" customHeight="1">
      <c r="A9" s="11" t="inlineStr">
        <is>
          <t>SKU-101</t>
        </is>
      </c>
      <c r="B9" s="12" t="inlineStr">
        <is>
          <t>iPhone 15 Pro Max</t>
        </is>
      </c>
      <c r="C9" s="11" t="inlineStr">
        <is>
          <t>Phones</t>
        </is>
      </c>
      <c r="D9" s="13" t="n">
        <v>5</v>
      </c>
      <c r="E9" s="14" t="n">
        <v>12.5</v>
      </c>
      <c r="F9" s="14">
        <f>D9*E9</f>
        <v/>
      </c>
      <c r="G9" s="14">
        <f>(D9+1.0)*8.0</f>
        <v/>
      </c>
      <c r="H9" s="14" t="n">
        <v>8</v>
      </c>
      <c r="I9" s="14">
        <f>F9-G9</f>
        <v/>
      </c>
    </row>
    <row r="10" ht="20" customHeight="1">
      <c r="A10" s="15" t="inlineStr">
        <is>
          <t>SKU-102</t>
        </is>
      </c>
      <c r="B10" s="16" t="inlineStr">
        <is>
          <t>20W Fast Charger</t>
        </is>
      </c>
      <c r="C10" s="15" t="inlineStr">
        <is>
          <t>Accessories</t>
        </is>
      </c>
      <c r="D10" s="17" t="n">
        <v>10</v>
      </c>
      <c r="E10" s="18" t="n">
        <v>25</v>
      </c>
      <c r="F10" s="18">
        <f>D10*E10</f>
        <v/>
      </c>
      <c r="G10" s="18">
        <f>(D10+0.0)*16.0</f>
        <v/>
      </c>
      <c r="H10" s="18" t="n">
        <v>0</v>
      </c>
      <c r="I10" s="18">
        <f>F10-G10</f>
        <v/>
      </c>
    </row>
    <row r="11" ht="20" customHeight="1">
      <c r="A11" s="11" t="inlineStr">
        <is>
          <t>SKU-103</t>
        </is>
      </c>
      <c r="B11" s="12" t="inlineStr">
        <is>
          <t>Natural Orange Juice</t>
        </is>
      </c>
      <c r="C11" s="11" t="inlineStr">
        <is>
          <t>Drinks</t>
        </is>
      </c>
      <c r="D11" s="13" t="n">
        <v>15</v>
      </c>
      <c r="E11" s="14" t="n">
        <v>37.5</v>
      </c>
      <c r="F11" s="14">
        <f>D11*E11</f>
        <v/>
      </c>
      <c r="G11" s="14">
        <f>(D11+0.0)*24.0</f>
        <v/>
      </c>
      <c r="H11" s="14" t="n">
        <v>0</v>
      </c>
      <c r="I11" s="14">
        <f>F11-G11</f>
        <v/>
      </c>
    </row>
    <row r="12" ht="20" customHeight="1">
      <c r="A12" s="15" t="inlineStr">
        <is>
          <t>SKU-104</t>
        </is>
      </c>
      <c r="B12" s="16" t="inlineStr">
        <is>
          <t>Basmati Rice 5kg</t>
        </is>
      </c>
      <c r="C12" s="15" t="inlineStr">
        <is>
          <t>Groceries</t>
        </is>
      </c>
      <c r="D12" s="17" t="n">
        <v>20</v>
      </c>
      <c r="E12" s="18" t="n">
        <v>50</v>
      </c>
      <c r="F12" s="18">
        <f>D12*E12</f>
        <v/>
      </c>
      <c r="G12" s="18">
        <f>(D12+1.0)*32.0</f>
        <v/>
      </c>
      <c r="H12" s="18" t="n">
        <v>32</v>
      </c>
      <c r="I12" s="18">
        <f>F12-G12</f>
        <v/>
      </c>
    </row>
    <row r="13" ht="20" customHeight="1">
      <c r="A13" s="11" t="inlineStr">
        <is>
          <t>SKU-105</t>
        </is>
      </c>
      <c r="B13" s="12" t="inlineStr">
        <is>
          <t>White Bread Pack</t>
        </is>
      </c>
      <c r="C13" s="11" t="inlineStr">
        <is>
          <t>Bakery</t>
        </is>
      </c>
      <c r="D13" s="13" t="n">
        <v>25</v>
      </c>
      <c r="E13" s="14" t="n">
        <v>62.5</v>
      </c>
      <c r="F13" s="14">
        <f>D13*E13</f>
        <v/>
      </c>
      <c r="G13" s="14">
        <f>(D13+0.0)*40.0</f>
        <v/>
      </c>
      <c r="H13" s="14" t="n">
        <v>0</v>
      </c>
      <c r="I13" s="14">
        <f>F13-G13</f>
        <v/>
      </c>
    </row>
    <row r="14" ht="20" customHeight="1">
      <c r="A14" s="15" t="inlineStr">
        <is>
          <t>SKU-106</t>
        </is>
      </c>
      <c r="B14" s="16" t="inlineStr">
        <is>
          <t>iPhone 15 Pro Max</t>
        </is>
      </c>
      <c r="C14" s="15" t="inlineStr">
        <is>
          <t>Phones</t>
        </is>
      </c>
      <c r="D14" s="17" t="n">
        <v>30</v>
      </c>
      <c r="E14" s="18" t="n">
        <v>75</v>
      </c>
      <c r="F14" s="18">
        <f>D14*E14</f>
        <v/>
      </c>
      <c r="G14" s="18">
        <f>(D14+0.0)*48.0</f>
        <v/>
      </c>
      <c r="H14" s="18" t="n">
        <v>0</v>
      </c>
      <c r="I14" s="18">
        <f>F14-G14</f>
        <v/>
      </c>
    </row>
    <row r="15" ht="20" customHeight="1">
      <c r="A15" s="11" t="inlineStr">
        <is>
          <t>SKU-107</t>
        </is>
      </c>
      <c r="B15" s="12" t="inlineStr">
        <is>
          <t>20W Fast Charger</t>
        </is>
      </c>
      <c r="C15" s="11" t="inlineStr">
        <is>
          <t>Accessories</t>
        </is>
      </c>
      <c r="D15" s="13" t="n">
        <v>35</v>
      </c>
      <c r="E15" s="14" t="n">
        <v>87.5</v>
      </c>
      <c r="F15" s="14">
        <f>D15*E15</f>
        <v/>
      </c>
      <c r="G15" s="14">
        <f>(D15+1.0)*56.0</f>
        <v/>
      </c>
      <c r="H15" s="14" t="n">
        <v>56</v>
      </c>
      <c r="I15" s="14">
        <f>F15-G15</f>
        <v/>
      </c>
    </row>
    <row r="16" ht="20" customHeight="1">
      <c r="A16" s="15" t="inlineStr">
        <is>
          <t>SKU-108</t>
        </is>
      </c>
      <c r="B16" s="16" t="inlineStr">
        <is>
          <t>Natural Orange Juice</t>
        </is>
      </c>
      <c r="C16" s="15" t="inlineStr">
        <is>
          <t>Drinks</t>
        </is>
      </c>
      <c r="D16" s="17" t="n">
        <v>40</v>
      </c>
      <c r="E16" s="18" t="n">
        <v>100</v>
      </c>
      <c r="F16" s="18">
        <f>D16*E16</f>
        <v/>
      </c>
      <c r="G16" s="18">
        <f>(D16+0.0)*64.0</f>
        <v/>
      </c>
      <c r="H16" s="18" t="n">
        <v>0</v>
      </c>
      <c r="I16" s="18">
        <f>F16-G16</f>
        <v/>
      </c>
    </row>
    <row r="17" ht="24" customHeight="1">
      <c r="A17" s="19" t="inlineStr">
        <is>
          <t>Grand Total</t>
        </is>
      </c>
      <c r="B17" s="20" t="n"/>
      <c r="C17" s="20" t="n"/>
      <c r="D17" s="21">
        <f>SUM(D9:D16)</f>
        <v/>
      </c>
      <c r="E17" s="20" t="n"/>
      <c r="F17" s="22">
        <f>SUM(F9:F16)</f>
        <v/>
      </c>
      <c r="G17" s="22">
        <f>SUM(G9:G16)</f>
        <v/>
      </c>
      <c r="H17" s="22">
        <f>SUM(H9:H16)</f>
        <v/>
      </c>
      <c r="I17" s="22">
        <f>SUM(I9:I16)</f>
        <v/>
      </c>
    </row>
    <row r="20">
      <c r="A20" s="23" t="inlineStr">
        <is>
          <t>Performance Summary by Category</t>
        </is>
      </c>
    </row>
    <row r="21">
      <c r="A21" s="10" t="inlineStr">
        <is>
          <t>Category</t>
        </is>
      </c>
      <c r="B21" s="24" t="n"/>
      <c r="C21" s="10" t="inlineStr">
        <is>
          <t>Total Sales</t>
        </is>
      </c>
      <c r="D21" s="24" t="n"/>
      <c r="E21" s="10" t="inlineStr">
        <is>
          <t>Net Profit</t>
        </is>
      </c>
      <c r="F21" s="24" t="n"/>
      <c r="G21" s="10" t="inlineStr">
        <is>
          <t>Revenue Share %</t>
        </is>
      </c>
      <c r="H21" s="24" t="n"/>
      <c r="I21" s="24" t="n"/>
    </row>
    <row r="22">
      <c r="A22" s="11" t="inlineStr">
        <is>
          <t>Phones</t>
        </is>
      </c>
      <c r="B22" s="25" t="n"/>
      <c r="C22" s="26">
        <f>SUMIF(C9:C16, A22, F9:F16)</f>
        <v/>
      </c>
      <c r="D22" s="25" t="n"/>
      <c r="E22" s="26">
        <f>SUMIF(C9:C16, A22, I9:I16)</f>
        <v/>
      </c>
      <c r="F22" s="25" t="n"/>
      <c r="G22" s="27">
        <f>IF(F17&gt;0, C22/F17, 0)</f>
        <v/>
      </c>
      <c r="H22" s="25" t="n"/>
      <c r="I22" s="25" t="n"/>
    </row>
    <row r="23">
      <c r="A23" s="15" t="inlineStr">
        <is>
          <t>Accessories</t>
        </is>
      </c>
      <c r="B23" s="28" t="n"/>
      <c r="C23" s="29">
        <f>SUMIF(C9:C16, A23, F9:F16)</f>
        <v/>
      </c>
      <c r="D23" s="28" t="n"/>
      <c r="E23" s="29">
        <f>SUMIF(C9:C16, A23, I9:I16)</f>
        <v/>
      </c>
      <c r="F23" s="28" t="n"/>
      <c r="G23" s="30">
        <f>IF(F17&gt;0, C23/F17, 0)</f>
        <v/>
      </c>
      <c r="H23" s="28" t="n"/>
      <c r="I23" s="28" t="n"/>
    </row>
    <row r="24">
      <c r="A24" s="11" t="inlineStr">
        <is>
          <t>Drinks</t>
        </is>
      </c>
      <c r="B24" s="25" t="n"/>
      <c r="C24" s="26">
        <f>SUMIF(C9:C16, A24, F9:F16)</f>
        <v/>
      </c>
      <c r="D24" s="25" t="n"/>
      <c r="E24" s="26">
        <f>SUMIF(C9:C16, A24, I9:I16)</f>
        <v/>
      </c>
      <c r="F24" s="25" t="n"/>
      <c r="G24" s="27">
        <f>IF(F17&gt;0, C24/F17, 0)</f>
        <v/>
      </c>
      <c r="H24" s="25" t="n"/>
      <c r="I24" s="25" t="n"/>
    </row>
    <row r="25">
      <c r="A25" s="15" t="inlineStr">
        <is>
          <t>Groceries</t>
        </is>
      </c>
      <c r="B25" s="28" t="n"/>
      <c r="C25" s="29">
        <f>SUMIF(C9:C16, A25, F9:F16)</f>
        <v/>
      </c>
      <c r="D25" s="28" t="n"/>
      <c r="E25" s="29">
        <f>SUMIF(C9:C16, A25, I9:I16)</f>
        <v/>
      </c>
      <c r="F25" s="28" t="n"/>
      <c r="G25" s="30">
        <f>IF(F17&gt;0, C25/F17, 0)</f>
        <v/>
      </c>
      <c r="H25" s="28" t="n"/>
      <c r="I25" s="28" t="n"/>
    </row>
    <row r="26">
      <c r="A26" s="11" t="inlineStr">
        <is>
          <t>Bakery</t>
        </is>
      </c>
      <c r="B26" s="25" t="n"/>
      <c r="C26" s="26">
        <f>SUMIF(C9:C16, A26, F9:F16)</f>
        <v/>
      </c>
      <c r="D26" s="25" t="n"/>
      <c r="E26" s="26">
        <f>SUMIF(C9:C16, A26, I9:I16)</f>
        <v/>
      </c>
      <c r="F26" s="25" t="n"/>
      <c r="G26" s="27">
        <f>IF(F17&gt;0, C26/F17, 0)</f>
        <v/>
      </c>
      <c r="H26" s="25" t="n"/>
      <c r="I26" s="25" t="n"/>
    </row>
    <row r="29" ht="28" customHeight="1">
      <c r="A29" s="31" t="inlineStr">
        <is>
          <t>✨ Baseera Report ✨  |  Generated automatically via Baseera Intelligence Platform - المؤسسة / الشركة</t>
        </is>
      </c>
      <c r="B29" s="32" t="n"/>
      <c r="C29" s="32" t="n"/>
      <c r="D29" s="32" t="n"/>
      <c r="E29" s="32" t="n"/>
      <c r="F29" s="32" t="n"/>
      <c r="G29" s="32" t="n"/>
      <c r="H29" s="32" t="n"/>
      <c r="I29" s="32" t="n"/>
    </row>
  </sheetData>
  <mergeCells count="36">
    <mergeCell ref="A24:B24"/>
    <mergeCell ref="C6:D6"/>
    <mergeCell ref="C24:D24"/>
    <mergeCell ref="G6:I6"/>
    <mergeCell ref="E24:F24"/>
    <mergeCell ref="C5:D5"/>
    <mergeCell ref="E5:F5"/>
    <mergeCell ref="E23:F23"/>
    <mergeCell ref="A3:I3"/>
    <mergeCell ref="C26:D26"/>
    <mergeCell ref="A6:B6"/>
    <mergeCell ref="G24:I24"/>
    <mergeCell ref="A2:I2"/>
    <mergeCell ref="A25:B25"/>
    <mergeCell ref="G5:I5"/>
    <mergeCell ref="C25:D25"/>
    <mergeCell ref="C22:D22"/>
    <mergeCell ref="G26:I26"/>
    <mergeCell ref="A20:I20"/>
    <mergeCell ref="G25:I25"/>
    <mergeCell ref="A29:I29"/>
    <mergeCell ref="A26:B26"/>
    <mergeCell ref="A21:B21"/>
    <mergeCell ref="E6:F6"/>
    <mergeCell ref="C21:D21"/>
    <mergeCell ref="G22:I22"/>
    <mergeCell ref="A5:B5"/>
    <mergeCell ref="A23:B23"/>
    <mergeCell ref="E26:F26"/>
    <mergeCell ref="G21:I21"/>
    <mergeCell ref="C23:D23"/>
    <mergeCell ref="A22:B22"/>
    <mergeCell ref="E25:F25"/>
    <mergeCell ref="G23:I23"/>
    <mergeCell ref="E22:F22"/>
    <mergeCell ref="E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2026-07-29T20:24:58Z</dcterms:created>
  <dcterms:modified xsi:type="dcterms:W3CDTF">2026-07-29T20:24:58Z</dcterms:modified>
</cp:coreProperties>
</file>