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شرات والأداء" sheetId="1" state="visible" r:id="rId1"/>
    <sheet name="تحليل مبيعات الأصناف" sheetId="2" state="visible" r:id="rId2"/>
    <sheet name="التوصيات الإستراتيج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ر.ع.&quot;"/>
    <numFmt numFmtId="165" formatCode="0.0%"/>
    <numFmt numFmtId="166" formatCode="#,##0 &quot;طلب&quot;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color rgb="00555555"/>
      <sz val="10"/>
    </font>
    <font>
      <name val="Arial"/>
      <b val="1"/>
      <color rgb="00444444"/>
      <sz val="10"/>
    </font>
    <font>
      <name val="Arial"/>
      <b val="1"/>
      <color rgb="001B365D"/>
      <sz val="13"/>
    </font>
    <font>
      <name val="Arial"/>
      <b val="1"/>
      <color rgb="001B365D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3" fontId="7" fillId="0" borderId="1" pivotButton="0" quotePrefix="0" xfId="0"/>
    <xf numFmtId="167" fontId="7" fillId="0" borderId="1" pivotButton="0" quotePrefix="0" xfId="0"/>
    <xf numFmtId="165" fontId="7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/>
    </xf>
    <xf numFmtId="3" fontId="7" fillId="4" borderId="1" pivotButton="0" quotePrefix="0" xfId="0"/>
    <xf numFmtId="167" fontId="7" fillId="4" borderId="1" pivotButton="0" quotePrefix="0" xfId="0"/>
    <xf numFmtId="165" fontId="7" fillId="4" borderId="1" pivotButton="0" quotePrefix="0" xfId="0"/>
    <xf numFmtId="0" fontId="8" fillId="0" borderId="1" pivotButton="0" quotePrefix="0" xfId="0"/>
    <xf numFmtId="3" fontId="8" fillId="0" borderId="1" pivotButton="0" quotePrefix="0" xfId="0"/>
    <xf numFmtId="167" fontId="8" fillId="0" borderId="1" pivotButton="0" quotePrefix="0" xfId="0"/>
    <xf numFmtId="165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الإيرادات حسب فترات اليوم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'المؤشرات والأداء'!D8</f>
            </strRef>
          </tx>
          <spPr>
            <a:ln>
              <a:prstDash val="solid"/>
            </a:ln>
          </spPr>
          <cat>
            <numRef>
              <f>'المؤشرات والأداء'!$A$9:$A$12</f>
            </numRef>
          </cat>
          <val>
            <numRef>
              <f>'المؤشرات والأداء'!$D$9:$D$12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نسبة مشاركة الأصناف في إجمالي الإيرادات</a:t>
            </a:r>
          </a:p>
        </rich>
      </tx>
    </title>
    <plotArea>
      <pieChart>
        <varyColors val="1"/>
        <ser>
          <idx val="0"/>
          <order val="0"/>
          <tx>
            <strRef>
              <f>'تحليل مبيعات الأصناف'!G3</f>
            </strRef>
          </tx>
          <spPr>
            <a:ln>
              <a:prstDash val="solid"/>
            </a:ln>
          </spPr>
          <cat>
            <numRef>
              <f>'تحليل مبيعات الأصناف'!$B$4:$B$6</f>
            </numRef>
          </cat>
          <val>
            <numRef>
              <f>'تحليل مبيعات الأصناف'!$G$4:$G$6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rightToLeft="1"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6" customWidth="1" min="3" max="3"/>
    <col width="21" customWidth="1" min="4" max="4"/>
    <col width="20" customWidth="1" min="5" max="5"/>
    <col width="18" customWidth="1" min="6" max="6"/>
    <col width="13" customWidth="1" min="7" max="7"/>
  </cols>
  <sheetData>
    <row r="1">
      <c r="A1" s="1" t="inlineStr">
        <is>
          <t>📊 تقرير بصيرة الذكي - مقهى الأفق الذكي</t>
        </is>
      </c>
    </row>
    <row r="2">
      <c r="A2" s="2" t="inlineStr">
        <is>
          <t>تاريخ التقرير: يوليو 2026 | نظام التحليل الذكي Basira Analytics</t>
        </is>
      </c>
    </row>
    <row r="3"/>
    <row r="4">
      <c r="A4" s="3" t="inlineStr">
        <is>
          <t>إجمالي الإيرادات</t>
        </is>
      </c>
      <c r="B4" s="3" t="inlineStr">
        <is>
          <t>نسبة الربحية</t>
        </is>
      </c>
      <c r="C4" s="3" t="inlineStr">
        <is>
          <t>عدد الطلبات</t>
        </is>
      </c>
      <c r="D4" s="3" t="inlineStr">
        <is>
          <t>العملاء المتكررين</t>
        </is>
      </c>
    </row>
    <row r="5">
      <c r="A5" s="4" t="n">
        <v>5120.5</v>
      </c>
      <c r="B5" s="5" t="n">
        <v>0.342</v>
      </c>
      <c r="C5" s="6" t="n">
        <v>1850</v>
      </c>
      <c r="D5" s="5" t="n">
        <v>0.71</v>
      </c>
    </row>
    <row r="6"/>
    <row r="7">
      <c r="A7" s="7" t="inlineStr">
        <is>
          <t>⏰ توزيع المبيعات حسب أوقات اليوم</t>
        </is>
      </c>
    </row>
    <row r="8">
      <c r="A8" s="8" t="inlineStr">
        <is>
          <t>الفترة الزمنية</t>
        </is>
      </c>
      <c r="B8" s="8" t="inlineStr">
        <is>
          <t>الوصف</t>
        </is>
      </c>
      <c r="C8" s="8" t="inlineStr">
        <is>
          <t>عدد الطلبات</t>
        </is>
      </c>
      <c r="D8" s="8" t="inlineStr">
        <is>
          <t>الإيرادات (ر.ع.)</t>
        </is>
      </c>
      <c r="E8" s="8" t="inlineStr">
        <is>
          <t>متوسط قيمة الطلب</t>
        </is>
      </c>
      <c r="F8" s="8" t="inlineStr">
        <is>
          <t>نسبة الإيراد %</t>
        </is>
      </c>
    </row>
    <row r="9">
      <c r="A9" s="9" t="inlineStr">
        <is>
          <t>07:00 - 10:00</t>
        </is>
      </c>
      <c r="B9" s="10" t="inlineStr">
        <is>
          <t>الفطور والقهوة الصباحية</t>
        </is>
      </c>
      <c r="C9" s="11" t="n">
        <v>320</v>
      </c>
      <c r="D9" s="12" t="n">
        <v>850</v>
      </c>
      <c r="E9" s="12">
        <f>D9/C9</f>
        <v/>
      </c>
      <c r="F9" s="13">
        <f>D9/$D$13</f>
        <v/>
      </c>
    </row>
    <row r="10">
      <c r="A10" s="14" t="inlineStr">
        <is>
          <t>10:00 - 14:00</t>
        </is>
      </c>
      <c r="B10" s="15" t="inlineStr">
        <is>
          <t>الظهيرة والإنتاجية</t>
        </is>
      </c>
      <c r="C10" s="16" t="n">
        <v>280</v>
      </c>
      <c r="D10" s="17" t="n">
        <v>720</v>
      </c>
      <c r="E10" s="17">
        <f>D10/C10</f>
        <v/>
      </c>
      <c r="F10" s="18">
        <f>D10/$D$13</f>
        <v/>
      </c>
    </row>
    <row r="11">
      <c r="A11" s="9" t="inlineStr">
        <is>
          <t>14:00 - 18:00</t>
        </is>
      </c>
      <c r="B11" s="10" t="inlineStr">
        <is>
          <t>الفترة المسائية الهادئة</t>
        </is>
      </c>
      <c r="C11" s="11" t="n">
        <v>250</v>
      </c>
      <c r="D11" s="12" t="n">
        <v>680</v>
      </c>
      <c r="E11" s="12">
        <f>D11/C11</f>
        <v/>
      </c>
      <c r="F11" s="13">
        <f>D11/$D$13</f>
        <v/>
      </c>
    </row>
    <row r="12">
      <c r="A12" s="14" t="inlineStr">
        <is>
          <t>18:00 - 23:00</t>
        </is>
      </c>
      <c r="B12" s="15" t="inlineStr">
        <is>
          <t>ذروة المقهى المسائية</t>
        </is>
      </c>
      <c r="C12" s="16" t="n">
        <v>1000</v>
      </c>
      <c r="D12" s="17" t="n">
        <v>2870.5</v>
      </c>
      <c r="E12" s="17">
        <f>D12/C12</f>
        <v/>
      </c>
      <c r="F12" s="18">
        <f>D12/$D$13</f>
        <v/>
      </c>
    </row>
    <row r="13">
      <c r="A13" s="19" t="inlineStr">
        <is>
          <t>الإجمالي</t>
        </is>
      </c>
      <c r="B13" s="19" t="n"/>
      <c r="C13" s="20">
        <f>SUM(C9:C12)</f>
        <v/>
      </c>
      <c r="D13" s="21">
        <f>SUM(D9:D12)</f>
        <v/>
      </c>
      <c r="E13" s="21">
        <f>D13/C13</f>
        <v/>
      </c>
      <c r="F13" s="22">
        <f>SUM(F9:F12)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rightToLeft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1" customWidth="1" min="5" max="5"/>
    <col width="25" customWidth="1" min="6" max="6"/>
    <col width="25" customWidth="1" min="7" max="7"/>
    <col width="23" customWidth="1" min="8" max="8"/>
    <col width="19" customWidth="1" min="9" max="9"/>
  </cols>
  <sheetData>
    <row r="1">
      <c r="A1" s="1" t="inlineStr">
        <is>
          <t>☕ تفاصيل مبيعات الأصناف والربحية - مقهى الأفق الذكي</t>
        </is>
      </c>
    </row>
    <row r="2"/>
    <row r="3">
      <c r="A3" s="8" t="inlineStr">
        <is>
          <t>كود الصنف</t>
        </is>
      </c>
      <c r="B3" s="8" t="inlineStr">
        <is>
          <t>اسم الصنف</t>
        </is>
      </c>
      <c r="C3" s="8" t="inlineStr">
        <is>
          <t>التصنيف</t>
        </is>
      </c>
      <c r="D3" s="8" t="inlineStr">
        <is>
          <t>الكمية المباعة</t>
        </is>
      </c>
      <c r="E3" s="8" t="inlineStr">
        <is>
          <t>سعر الوحدة (ر.ع.)</t>
        </is>
      </c>
      <c r="F3" s="8" t="inlineStr">
        <is>
          <t>التكلفة للوحدة (ر.ع.)</t>
        </is>
      </c>
      <c r="G3" s="8" t="inlineStr">
        <is>
          <t>إجمالي الإيراد (ر.ع.)</t>
        </is>
      </c>
      <c r="H3" s="8" t="inlineStr">
        <is>
          <t>إجمالي الربح (ر.ع.)</t>
        </is>
      </c>
      <c r="I3" s="8" t="inlineStr">
        <is>
          <t>نسبة المشاركة %</t>
        </is>
      </c>
    </row>
    <row r="4">
      <c r="A4" s="14" t="inlineStr">
        <is>
          <t>A-01</t>
        </is>
      </c>
      <c r="B4" s="15" t="inlineStr">
        <is>
          <t>آيس سبانش لاتيه</t>
        </is>
      </c>
      <c r="C4" s="14" t="inlineStr">
        <is>
          <t>مشروبات باردة</t>
        </is>
      </c>
      <c r="D4" s="16" t="n">
        <v>550</v>
      </c>
      <c r="E4" s="17" t="n">
        <v>2.2</v>
      </c>
      <c r="F4" s="17" t="n">
        <v>0.6</v>
      </c>
      <c r="G4" s="17">
        <f>D4*E4</f>
        <v/>
      </c>
      <c r="H4" s="17">
        <f>D4*(E4-F4)</f>
        <v/>
      </c>
      <c r="I4" s="18">
        <f>G4/$G$7</f>
        <v/>
      </c>
    </row>
    <row r="5">
      <c r="A5" s="9" t="inlineStr">
        <is>
          <t>A-02</t>
        </is>
      </c>
      <c r="B5" s="10" t="inlineStr">
        <is>
          <t>كورتادو خاص</t>
        </is>
      </c>
      <c r="C5" s="9" t="inlineStr">
        <is>
          <t>مشروبات ساخنة</t>
        </is>
      </c>
      <c r="D5" s="11" t="n">
        <v>410</v>
      </c>
      <c r="E5" s="12" t="n">
        <v>1.8</v>
      </c>
      <c r="F5" s="12" t="n">
        <v>0.4</v>
      </c>
      <c r="G5" s="12">
        <f>D5*E5</f>
        <v/>
      </c>
      <c r="H5" s="12">
        <f>D5*(E5-F5)</f>
        <v/>
      </c>
      <c r="I5" s="13">
        <f>G5/$G$7</f>
        <v/>
      </c>
    </row>
    <row r="6">
      <c r="A6" s="14" t="inlineStr">
        <is>
          <t>A-03</t>
        </is>
      </c>
      <c r="B6" s="15" t="inlineStr">
        <is>
          <t>وافل بلجيكي</t>
        </is>
      </c>
      <c r="C6" s="14" t="inlineStr">
        <is>
          <t>حلويات</t>
        </is>
      </c>
      <c r="D6" s="16" t="n">
        <v>300</v>
      </c>
      <c r="E6" s="17" t="n">
        <v>2.5</v>
      </c>
      <c r="F6" s="17" t="n">
        <v>0.7</v>
      </c>
      <c r="G6" s="17">
        <f>D6*E6</f>
        <v/>
      </c>
      <c r="H6" s="17">
        <f>D6*(E6-F6)</f>
        <v/>
      </c>
      <c r="I6" s="18">
        <f>G6/$G$7</f>
        <v/>
      </c>
    </row>
    <row r="7">
      <c r="A7" s="19" t="inlineStr">
        <is>
          <t>الإجمالي</t>
        </is>
      </c>
      <c r="B7" s="19" t="n"/>
      <c r="C7" s="19" t="n"/>
      <c r="D7" s="20">
        <f>SUM(D4:D6)</f>
        <v/>
      </c>
      <c r="E7" s="19" t="n"/>
      <c r="F7" s="19" t="n"/>
      <c r="G7" s="21">
        <f>SUM(G4:G6)</f>
        <v/>
      </c>
      <c r="H7" s="21">
        <f>SUM(H4:H6)</f>
        <v/>
      </c>
      <c r="I7" s="22">
        <f>SUM(I4:I6)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56" customWidth="1" min="3" max="3"/>
    <col width="20" customWidth="1" min="4" max="4"/>
    <col width="13" customWidth="1" min="5" max="5"/>
    <col width="16" customWidth="1" min="6" max="6"/>
  </cols>
  <sheetData>
    <row r="1">
      <c r="A1" s="1" t="inlineStr">
        <is>
          <t>💡 توصيات بصيرة الذكية - مقهى الأفق الذكي</t>
        </is>
      </c>
    </row>
    <row r="2"/>
    <row r="3">
      <c r="A3" s="8" t="inlineStr">
        <is>
          <t>رقم التوصية</t>
        </is>
      </c>
      <c r="B3" s="8" t="inlineStr">
        <is>
          <t>المجال</t>
        </is>
      </c>
      <c r="C3" s="8" t="inlineStr">
        <is>
          <t>التوصية الإستراتيجية</t>
        </is>
      </c>
      <c r="D3" s="8" t="inlineStr">
        <is>
          <t>الأثر المتوقع</t>
        </is>
      </c>
      <c r="E3" s="8" t="inlineStr">
        <is>
          <t>الأولوية</t>
        </is>
      </c>
      <c r="F3" s="8" t="inlineStr">
        <is>
          <t>حالة التنفيذ</t>
        </is>
      </c>
    </row>
    <row r="4">
      <c r="A4" s="14" t="inlineStr">
        <is>
          <t>REC-01</t>
        </is>
      </c>
      <c r="B4" s="14" t="inlineStr">
        <is>
          <t>التشغيل</t>
        </is>
      </c>
      <c r="C4" s="15" t="inlineStr">
        <is>
          <t>إضافة آلة قهوة ثانية للحد من الازدحام في ذروة المساء</t>
        </is>
      </c>
      <c r="D4" s="14" t="inlineStr">
        <is>
          <t>+15% سرعة الخدمة</t>
        </is>
      </c>
      <c r="E4" s="14" t="inlineStr">
        <is>
          <t>عالية</t>
        </is>
      </c>
      <c r="F4" s="14" t="inlineStr">
        <is>
          <t>موصى به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2026-07-28T19:19:56Z</dcterms:created>
  <dcterms:modified xsi:type="dcterms:W3CDTF">2026-07-28T19:19:56Z</dcterms:modified>
</cp:coreProperties>
</file>