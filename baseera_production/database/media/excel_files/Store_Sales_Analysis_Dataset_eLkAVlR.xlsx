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بيعات والتحلي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&quot; OMR&quot;"/>
  </numFmts>
  <fonts count="6">
    <font>
      <name val="Calibri"/>
      <family val="2"/>
      <color theme="1"/>
      <sz val="11"/>
      <scheme val="minor"/>
    </font>
    <font>
      <name val="Segoe UI"/>
      <b val="1"/>
      <color rgb="001F4E5B"/>
      <sz val="16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F4E5B"/>
      <sz val="10"/>
    </font>
  </fonts>
  <fills count="6">
    <fill>
      <patternFill/>
    </fill>
    <fill>
      <patternFill patternType="gray125"/>
    </fill>
    <fill>
      <patternFill patternType="solid">
        <fgColor rgb="001F4E5B"/>
        <bgColor rgb="001F4E5B"/>
      </patternFill>
    </fill>
    <fill>
      <patternFill patternType="solid">
        <fgColor rgb="00F9FBFB"/>
        <bgColor rgb="00F9FBFB"/>
      </patternFill>
    </fill>
    <fill>
      <patternFill patternType="solid">
        <fgColor rgb="00FFFFFF"/>
        <bgColor rgb="00FFFFFF"/>
      </patternFill>
    </fill>
    <fill>
      <patternFill patternType="solid">
        <fgColor rgb="00EAF2F4"/>
        <bgColor rgb="00EAF2F4"/>
      </patternFill>
    </fill>
  </fills>
  <borders count="3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top style="medium">
        <color rgb="001F4E5B"/>
      </top>
      <bottom style="double">
        <color rgb="001F4E5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0" fontId="0" fillId="5" borderId="2" pivotButton="0" quotePrefix="0" xfId="0"/>
    <xf numFmtId="3" fontId="5" fillId="5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9" customWidth="1" min="2" max="2"/>
    <col width="15" customWidth="1" min="3" max="3"/>
    <col width="25" customWidth="1" min="4" max="4"/>
    <col width="19" customWidth="1" min="5" max="5"/>
    <col width="19" customWidth="1" min="6" max="6"/>
    <col width="21" customWidth="1" min="7" max="7"/>
    <col width="26" customWidth="1" min="8" max="8"/>
    <col width="16" customWidth="1" min="9" max="9"/>
    <col width="26" customWidth="1" min="10" max="10"/>
  </cols>
  <sheetData>
    <row r="1"/>
    <row r="2" ht="28" customHeight="1">
      <c r="B2" s="1" t="inlineStr">
        <is>
          <t>سجل مبيعات دكان / محل تجاري (نموذج اختبار تحليل البيانات)</t>
        </is>
      </c>
    </row>
    <row r="3">
      <c r="B3" s="2" t="inlineStr">
        <is>
          <t>استخدم هذا الملف لرفعه على الموقع والتأكد من قراءة البيانات وحساب الإيرادات والأصناف الأكثر مبيعاً</t>
        </is>
      </c>
    </row>
    <row r="4"/>
    <row r="5" ht="26" customHeight="1">
      <c r="B5" s="3" t="inlineStr">
        <is>
          <t>رقم الفاتورة</t>
        </is>
      </c>
      <c r="C5" s="3" t="inlineStr">
        <is>
          <t>التاريخ</t>
        </is>
      </c>
      <c r="D5" s="3" t="inlineStr">
        <is>
          <t>اسم المنتج / السلعة</t>
        </is>
      </c>
      <c r="E5" s="3" t="inlineStr">
        <is>
          <t>الفئة</t>
        </is>
      </c>
      <c r="F5" s="3" t="inlineStr">
        <is>
          <t>الكمية المباعة</t>
        </is>
      </c>
      <c r="G5" s="3" t="inlineStr">
        <is>
          <t>سعر الوحدة (OMR)</t>
        </is>
      </c>
      <c r="H5" s="3" t="inlineStr">
        <is>
          <t>إجمالي المبيعات (OMR)</t>
        </is>
      </c>
      <c r="I5" s="3" t="inlineStr">
        <is>
          <t>طريقة الدفع</t>
        </is>
      </c>
      <c r="J5" s="3" t="inlineStr">
        <is>
          <t>قناة البيع</t>
        </is>
      </c>
    </row>
    <row r="6">
      <c r="B6" s="4" t="inlineStr">
        <is>
          <t>INV-1001</t>
        </is>
      </c>
      <c r="C6" s="4" t="inlineStr">
        <is>
          <t>2026-07-01</t>
        </is>
      </c>
      <c r="D6" s="5" t="inlineStr">
        <is>
          <t>حليب قليل الدسم 1L</t>
        </is>
      </c>
      <c r="E6" s="5" t="inlineStr">
        <is>
          <t>ألبان ومشروبات</t>
        </is>
      </c>
      <c r="F6" s="6" t="n">
        <v>12</v>
      </c>
      <c r="G6" s="7" t="n">
        <v>0.65</v>
      </c>
      <c r="H6" s="7">
        <f>F6*G6</f>
        <v/>
      </c>
      <c r="I6" s="4" t="inlineStr">
        <is>
          <t>نقد</t>
        </is>
      </c>
      <c r="J6" s="4" t="inlineStr">
        <is>
          <t>المحل</t>
        </is>
      </c>
    </row>
    <row r="7">
      <c r="B7" s="8" t="inlineStr">
        <is>
          <t>INV-1002</t>
        </is>
      </c>
      <c r="C7" s="8" t="inlineStr">
        <is>
          <t>2026-07-01</t>
        </is>
      </c>
      <c r="D7" s="9" t="inlineStr">
        <is>
          <t>خبز أبيض طازج</t>
        </is>
      </c>
      <c r="E7" s="9" t="inlineStr">
        <is>
          <t>مخبوزات</t>
        </is>
      </c>
      <c r="F7" s="10" t="n">
        <v>25</v>
      </c>
      <c r="G7" s="11" t="n">
        <v>0.3</v>
      </c>
      <c r="H7" s="11">
        <f>F7*G7</f>
        <v/>
      </c>
      <c r="I7" s="8" t="inlineStr">
        <is>
          <t>بطاقة</t>
        </is>
      </c>
      <c r="J7" s="8" t="inlineStr">
        <is>
          <t>المحل</t>
        </is>
      </c>
    </row>
    <row r="8">
      <c r="B8" s="4" t="inlineStr">
        <is>
          <t>INV-1003</t>
        </is>
      </c>
      <c r="C8" s="4" t="inlineStr">
        <is>
          <t>2026-07-01</t>
        </is>
      </c>
      <c r="D8" s="5" t="inlineStr">
        <is>
          <t>أرز أبيض 5KG</t>
        </is>
      </c>
      <c r="E8" s="5" t="inlineStr">
        <is>
          <t>مواد غذائية</t>
        </is>
      </c>
      <c r="F8" s="6" t="n">
        <v>4</v>
      </c>
      <c r="G8" s="7" t="n">
        <v>3.8</v>
      </c>
      <c r="H8" s="7">
        <f>F8*G8</f>
        <v/>
      </c>
      <c r="I8" s="4" t="inlineStr">
        <is>
          <t>بطاقة</t>
        </is>
      </c>
      <c r="J8" s="4" t="inlineStr">
        <is>
          <t>أونلاين (Integrately)</t>
        </is>
      </c>
    </row>
    <row r="9">
      <c r="B9" s="8" t="inlineStr">
        <is>
          <t>INV-1004</t>
        </is>
      </c>
      <c r="C9" s="8" t="inlineStr">
        <is>
          <t>2026-07-02</t>
        </is>
      </c>
      <c r="D9" s="9" t="inlineStr">
        <is>
          <t>زيت طهي 1.5L</t>
        </is>
      </c>
      <c r="E9" s="9" t="inlineStr">
        <is>
          <t>مواد غذائية</t>
        </is>
      </c>
      <c r="F9" s="10" t="n">
        <v>8</v>
      </c>
      <c r="G9" s="11" t="n">
        <v>1.45</v>
      </c>
      <c r="H9" s="11">
        <f>F9*G9</f>
        <v/>
      </c>
      <c r="I9" s="8" t="inlineStr">
        <is>
          <t>نقد</t>
        </is>
      </c>
      <c r="J9" s="8" t="inlineStr">
        <is>
          <t>المحل</t>
        </is>
      </c>
    </row>
    <row r="10">
      <c r="B10" s="4" t="inlineStr">
        <is>
          <t>INV-1005</t>
        </is>
      </c>
      <c r="C10" s="4" t="inlineStr">
        <is>
          <t>2026-07-02</t>
        </is>
      </c>
      <c r="D10" s="5" t="inlineStr">
        <is>
          <t>شاي أحمر 100 كيس</t>
        </is>
      </c>
      <c r="E10" s="5" t="inlineStr">
        <is>
          <t>مشروبات</t>
        </is>
      </c>
      <c r="F10" s="6" t="n">
        <v>10</v>
      </c>
      <c r="G10" s="7" t="n">
        <v>1.1</v>
      </c>
      <c r="H10" s="7">
        <f>F10*G10</f>
        <v/>
      </c>
      <c r="I10" s="4" t="inlineStr">
        <is>
          <t>بطاقة</t>
        </is>
      </c>
      <c r="J10" s="4" t="inlineStr">
        <is>
          <t>المحل</t>
        </is>
      </c>
    </row>
    <row r="11">
      <c r="B11" s="8" t="inlineStr">
        <is>
          <t>INV-1006</t>
        </is>
      </c>
      <c r="C11" s="8" t="inlineStr">
        <is>
          <t>2026-07-02</t>
        </is>
      </c>
      <c r="D11" s="9" t="inlineStr">
        <is>
          <t>ماء صحي 1.5L (كرتون)</t>
        </is>
      </c>
      <c r="E11" s="9" t="inlineStr">
        <is>
          <t>مشروبات</t>
        </is>
      </c>
      <c r="F11" s="10" t="n">
        <v>15</v>
      </c>
      <c r="G11" s="11" t="n">
        <v>1.2</v>
      </c>
      <c r="H11" s="11">
        <f>F11*G11</f>
        <v/>
      </c>
      <c r="I11" s="8" t="inlineStr">
        <is>
          <t>نقد</t>
        </is>
      </c>
      <c r="J11" s="8" t="inlineStr">
        <is>
          <t>المحل</t>
        </is>
      </c>
    </row>
    <row r="12">
      <c r="B12" s="4" t="inlineStr">
        <is>
          <t>INV-1007</t>
        </is>
      </c>
      <c r="C12" s="4" t="inlineStr">
        <is>
          <t>2026-07-03</t>
        </is>
      </c>
      <c r="D12" s="5" t="inlineStr">
        <is>
          <t>بيض طازج 30 حبة</t>
        </is>
      </c>
      <c r="E12" s="5" t="inlineStr">
        <is>
          <t>ألبان ومشروبات</t>
        </is>
      </c>
      <c r="F12" s="6" t="n">
        <v>10</v>
      </c>
      <c r="G12" s="7" t="n">
        <v>1.65</v>
      </c>
      <c r="H12" s="7">
        <f>F12*G12</f>
        <v/>
      </c>
      <c r="I12" s="4" t="inlineStr">
        <is>
          <t>بطاقة</t>
        </is>
      </c>
      <c r="J12" s="4" t="inlineStr">
        <is>
          <t>المحل</t>
        </is>
      </c>
    </row>
    <row r="13">
      <c r="B13" s="8" t="inlineStr">
        <is>
          <t>INV-1008</t>
        </is>
      </c>
      <c r="C13" s="8" t="inlineStr">
        <is>
          <t>2026-07-03</t>
        </is>
      </c>
      <c r="D13" s="9" t="inlineStr">
        <is>
          <t>سكر ناعم 2KG</t>
        </is>
      </c>
      <c r="E13" s="9" t="inlineStr">
        <is>
          <t>مواد غذائية</t>
        </is>
      </c>
      <c r="F13" s="10" t="n">
        <v>14</v>
      </c>
      <c r="G13" s="11" t="n">
        <v>0.85</v>
      </c>
      <c r="H13" s="11">
        <f>F13*G13</f>
        <v/>
      </c>
      <c r="I13" s="8" t="inlineStr">
        <is>
          <t>نقد</t>
        </is>
      </c>
      <c r="J13" s="8" t="inlineStr">
        <is>
          <t>أونلاين (Integrately)</t>
        </is>
      </c>
    </row>
    <row r="14">
      <c r="B14" s="4" t="inlineStr">
        <is>
          <t>INV-1009</t>
        </is>
      </c>
      <c r="C14" s="4" t="inlineStr">
        <is>
          <t>2026-07-03</t>
        </is>
      </c>
      <c r="D14" s="5" t="inlineStr">
        <is>
          <t>جبنة كاسات 500g</t>
        </is>
      </c>
      <c r="E14" s="5" t="inlineStr">
        <is>
          <t>ألبان ومشروبات</t>
        </is>
      </c>
      <c r="F14" s="6" t="n">
        <v>9</v>
      </c>
      <c r="G14" s="7" t="n">
        <v>1.3</v>
      </c>
      <c r="H14" s="7">
        <f>F14*G14</f>
        <v/>
      </c>
      <c r="I14" s="4" t="inlineStr">
        <is>
          <t>بطاقة</t>
        </is>
      </c>
      <c r="J14" s="4" t="inlineStr">
        <is>
          <t>المحل</t>
        </is>
      </c>
    </row>
    <row r="15">
      <c r="B15" s="8" t="inlineStr">
        <is>
          <t>INV-1010</t>
        </is>
      </c>
      <c r="C15" s="8" t="inlineStr">
        <is>
          <t>2026-07-04</t>
        </is>
      </c>
      <c r="D15" s="9" t="inlineStr">
        <is>
          <t>عصير برتقال طبيعي 1L</t>
        </is>
      </c>
      <c r="E15" s="9" t="inlineStr">
        <is>
          <t>مشروبات</t>
        </is>
      </c>
      <c r="F15" s="10" t="n">
        <v>20</v>
      </c>
      <c r="G15" s="11" t="n">
        <v>0.75</v>
      </c>
      <c r="H15" s="11">
        <f>F15*G15</f>
        <v/>
      </c>
      <c r="I15" s="8" t="inlineStr">
        <is>
          <t>نقد</t>
        </is>
      </c>
      <c r="J15" s="8" t="inlineStr">
        <is>
          <t>المحل</t>
        </is>
      </c>
    </row>
    <row r="16">
      <c r="B16" s="4" t="inlineStr">
        <is>
          <t>INV-1011</t>
        </is>
      </c>
      <c r="C16" s="4" t="inlineStr">
        <is>
          <t>2026-07-04</t>
        </is>
      </c>
      <c r="D16" s="5" t="inlineStr">
        <is>
          <t>دجاج مجمد 1000g</t>
        </is>
      </c>
      <c r="E16" s="5" t="inlineStr">
        <is>
          <t>مجمدات</t>
        </is>
      </c>
      <c r="F16" s="6" t="n">
        <v>18</v>
      </c>
      <c r="G16" s="7" t="n">
        <v>1.4</v>
      </c>
      <c r="H16" s="7">
        <f>F16*G16</f>
        <v/>
      </c>
      <c r="I16" s="4" t="inlineStr">
        <is>
          <t>بطاقة</t>
        </is>
      </c>
      <c r="J16" s="4" t="inlineStr">
        <is>
          <t>المحل</t>
        </is>
      </c>
    </row>
    <row r="17">
      <c r="B17" s="8" t="inlineStr">
        <is>
          <t>INV-1012</t>
        </is>
      </c>
      <c r="C17" s="8" t="inlineStr">
        <is>
          <t>2026-07-04</t>
        </is>
      </c>
      <c r="D17" s="9" t="inlineStr">
        <is>
          <t>معجون أسنان 125ml</t>
        </is>
      </c>
      <c r="E17" s="9" t="inlineStr">
        <is>
          <t>عناية شخصية</t>
        </is>
      </c>
      <c r="F17" s="10" t="n">
        <v>6</v>
      </c>
      <c r="G17" s="11" t="n">
        <v>0.95</v>
      </c>
      <c r="H17" s="11">
        <f>F17*G17</f>
        <v/>
      </c>
      <c r="I17" s="8" t="inlineStr">
        <is>
          <t>نقد</t>
        </is>
      </c>
      <c r="J17" s="8" t="inlineStr">
        <is>
          <t>أونلاين (Integrately)</t>
        </is>
      </c>
    </row>
    <row r="18">
      <c r="B18" s="4" t="inlineStr">
        <is>
          <t>INV-1013</t>
        </is>
      </c>
      <c r="C18" s="4" t="inlineStr">
        <is>
          <t>2026-07-05</t>
        </is>
      </c>
      <c r="D18" s="5" t="inlineStr">
        <is>
          <t>صابون غسيل ملابس 3KG</t>
        </is>
      </c>
      <c r="E18" s="5" t="inlineStr">
        <is>
          <t>منظفات</t>
        </is>
      </c>
      <c r="F18" s="6" t="n">
        <v>5</v>
      </c>
      <c r="G18" s="7" t="n">
        <v>2.7</v>
      </c>
      <c r="H18" s="7">
        <f>F18*G18</f>
        <v/>
      </c>
      <c r="I18" s="4" t="inlineStr">
        <is>
          <t>بطاقة</t>
        </is>
      </c>
      <c r="J18" s="4" t="inlineStr">
        <is>
          <t>المحل</t>
        </is>
      </c>
    </row>
    <row r="19">
      <c r="B19" s="8" t="inlineStr">
        <is>
          <t>INV-1014</t>
        </is>
      </c>
      <c r="C19" s="8" t="inlineStr">
        <is>
          <t>2026-07-05</t>
        </is>
      </c>
      <c r="D19" s="9" t="inlineStr">
        <is>
          <t>شيبس أطفال (شدة)</t>
        </is>
      </c>
      <c r="E19" s="9" t="inlineStr">
        <is>
          <t>تسالي وحلويات</t>
        </is>
      </c>
      <c r="F19" s="10" t="n">
        <v>30</v>
      </c>
      <c r="G19" s="11" t="n">
        <v>0.5</v>
      </c>
      <c r="H19" s="11">
        <f>F19*G19</f>
        <v/>
      </c>
      <c r="I19" s="8" t="inlineStr">
        <is>
          <t>نقد</t>
        </is>
      </c>
      <c r="J19" s="8" t="inlineStr">
        <is>
          <t>المحل</t>
        </is>
      </c>
    </row>
    <row r="20">
      <c r="B20" s="4" t="inlineStr">
        <is>
          <t>INV-1015</t>
        </is>
      </c>
      <c r="C20" s="4" t="inlineStr">
        <is>
          <t>2026-07-05</t>
        </is>
      </c>
      <c r="D20" s="5" t="inlineStr">
        <is>
          <t>بسكويت شاي 12 بكيت</t>
        </is>
      </c>
      <c r="E20" s="5" t="inlineStr">
        <is>
          <t>تسالي وحلويات</t>
        </is>
      </c>
      <c r="F20" s="6" t="n">
        <v>16</v>
      </c>
      <c r="G20" s="7" t="n">
        <v>0.9</v>
      </c>
      <c r="H20" s="7">
        <f>F20*G20</f>
        <v/>
      </c>
      <c r="I20" s="4" t="inlineStr">
        <is>
          <t>بطاقة</t>
        </is>
      </c>
      <c r="J20" s="4" t="inlineStr">
        <is>
          <t>المحل</t>
        </is>
      </c>
    </row>
    <row r="21">
      <c r="B21" s="8" t="inlineStr">
        <is>
          <t>INV-1016</t>
        </is>
      </c>
      <c r="C21" s="8" t="inlineStr">
        <is>
          <t>2026-07-06</t>
        </is>
      </c>
      <c r="D21" s="9" t="inlineStr">
        <is>
          <t>حليب قليل الدسم 1L</t>
        </is>
      </c>
      <c r="E21" s="9" t="inlineStr">
        <is>
          <t>ألبان ومشروبات</t>
        </is>
      </c>
      <c r="F21" s="10" t="n">
        <v>15</v>
      </c>
      <c r="G21" s="11" t="n">
        <v>0.65</v>
      </c>
      <c r="H21" s="11">
        <f>F21*G21</f>
        <v/>
      </c>
      <c r="I21" s="8" t="inlineStr">
        <is>
          <t>نقد</t>
        </is>
      </c>
      <c r="J21" s="8" t="inlineStr">
        <is>
          <t>المحل</t>
        </is>
      </c>
    </row>
    <row r="22">
      <c r="B22" s="4" t="inlineStr">
        <is>
          <t>INV-1017</t>
        </is>
      </c>
      <c r="C22" s="4" t="inlineStr">
        <is>
          <t>2026-07-06</t>
        </is>
      </c>
      <c r="D22" s="5" t="inlineStr">
        <is>
          <t>خبز أبيض طازج</t>
        </is>
      </c>
      <c r="E22" s="5" t="inlineStr">
        <is>
          <t>مخبوزات</t>
        </is>
      </c>
      <c r="F22" s="6" t="n">
        <v>30</v>
      </c>
      <c r="G22" s="7" t="n">
        <v>0.3</v>
      </c>
      <c r="H22" s="7">
        <f>F22*G22</f>
        <v/>
      </c>
      <c r="I22" s="4" t="inlineStr">
        <is>
          <t>بطاقة</t>
        </is>
      </c>
      <c r="J22" s="4" t="inlineStr">
        <is>
          <t>المحل</t>
        </is>
      </c>
    </row>
    <row r="23">
      <c r="B23" s="8" t="inlineStr">
        <is>
          <t>INV-1018</t>
        </is>
      </c>
      <c r="C23" s="8" t="inlineStr">
        <is>
          <t>2026-07-06</t>
        </is>
      </c>
      <c r="D23" s="9" t="inlineStr">
        <is>
          <t>أرز أبيض 5KG</t>
        </is>
      </c>
      <c r="E23" s="9" t="inlineStr">
        <is>
          <t>مواد غذائية</t>
        </is>
      </c>
      <c r="F23" s="10" t="n">
        <v>6</v>
      </c>
      <c r="G23" s="11" t="n">
        <v>3.8</v>
      </c>
      <c r="H23" s="11">
        <f>F23*G23</f>
        <v/>
      </c>
      <c r="I23" s="8" t="inlineStr">
        <is>
          <t>بطاقة</t>
        </is>
      </c>
      <c r="J23" s="8" t="inlineStr">
        <is>
          <t>أونلاين (Integrately)</t>
        </is>
      </c>
    </row>
    <row r="24">
      <c r="B24" s="4" t="inlineStr">
        <is>
          <t>INV-1019</t>
        </is>
      </c>
      <c r="C24" s="4" t="inlineStr">
        <is>
          <t>2026-07-07</t>
        </is>
      </c>
      <c r="D24" s="5" t="inlineStr">
        <is>
          <t>دجاج مجمد 1000g</t>
        </is>
      </c>
      <c r="E24" s="5" t="inlineStr">
        <is>
          <t>مجمدات</t>
        </is>
      </c>
      <c r="F24" s="6" t="n">
        <v>12</v>
      </c>
      <c r="G24" s="7" t="n">
        <v>1.4</v>
      </c>
      <c r="H24" s="7">
        <f>F24*G24</f>
        <v/>
      </c>
      <c r="I24" s="4" t="inlineStr">
        <is>
          <t>نقد</t>
        </is>
      </c>
      <c r="J24" s="4" t="inlineStr">
        <is>
          <t>المحل</t>
        </is>
      </c>
    </row>
    <row r="25">
      <c r="B25" s="8" t="inlineStr">
        <is>
          <t>INV-1020</t>
        </is>
      </c>
      <c r="C25" s="8" t="inlineStr">
        <is>
          <t>2026-07-07</t>
        </is>
      </c>
      <c r="D25" s="9" t="inlineStr">
        <is>
          <t>ماء صحي 1.5L (كرتون)</t>
        </is>
      </c>
      <c r="E25" s="9" t="inlineStr">
        <is>
          <t>مشروبات</t>
        </is>
      </c>
      <c r="F25" s="10" t="n">
        <v>20</v>
      </c>
      <c r="G25" s="11" t="n">
        <v>1.2</v>
      </c>
      <c r="H25" s="11">
        <f>F25*G25</f>
        <v/>
      </c>
      <c r="I25" s="8" t="inlineStr">
        <is>
          <t>بطاقة</t>
        </is>
      </c>
      <c r="J25" s="8" t="inlineStr">
        <is>
          <t>المحل</t>
        </is>
      </c>
    </row>
    <row r="26">
      <c r="B26" s="12" t="inlineStr">
        <is>
          <t>الإجمالي الكلي</t>
        </is>
      </c>
      <c r="C26" s="13" t="n"/>
      <c r="D26" s="13" t="n"/>
      <c r="E26" s="13" t="n"/>
      <c r="F26" s="14">
        <f>SUM(F6:F25)</f>
        <v/>
      </c>
      <c r="G26" s="13" t="n"/>
      <c r="H26" s="15">
        <f>SUM(H6:H25)</f>
        <v/>
      </c>
      <c r="I26" s="13" t="n"/>
      <c r="J26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2026-07-28T19:54:17Z</dcterms:created>
  <dcterms:modified xmlns:dcterms="http://purl.org/dc/terms/" xmlns:xsi="http://www.w3.org/2001/XMLSchema-instance" xsi:type="dcterms:W3CDTF">2026-07-28T19:54:17Z</dcterms:modified>
</cp:coreProperties>
</file>